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server1brauna\publicos brauna\DIÁRIO\1. Engenharia\Brauna\1. Projetos\A44 - JOICE\2025\505\Rev.03\"/>
    </mc:Choice>
  </mc:AlternateContent>
  <xr:revisionPtr revIDLastSave="0" documentId="13_ncr:1_{4FF02A57-FF4E-44DE-A08F-73AD95529257}" xr6:coauthVersionLast="47" xr6:coauthVersionMax="47" xr10:uidLastSave="{00000000-0000-0000-0000-000000000000}"/>
  <bookViews>
    <workbookView xWindow="28680" yWindow="-120" windowWidth="20730" windowHeight="11160" xr2:uid="{00000000-000D-0000-FFFF-FFFF00000000}"/>
  </bookViews>
  <sheets>
    <sheet name="PORTA PALETES" sheetId="1" r:id="rId1"/>
    <sheet name="Planilha1" sheetId="4" r:id="rId2"/>
  </sheets>
  <definedNames>
    <definedName name="_xlnm.Print_Area" localSheetId="0">'PORTA PALETES'!$A$1:$S$27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7" i="1" l="1"/>
  <c r="O17" i="1" s="1"/>
  <c r="A11" i="1"/>
  <c r="R11" i="1" s="1"/>
  <c r="R9" i="1"/>
  <c r="O9" i="1"/>
  <c r="R16" i="1"/>
  <c r="O16" i="1"/>
  <c r="B33" i="1"/>
  <c r="C33" i="1"/>
  <c r="F33" i="1"/>
  <c r="G33" i="1"/>
  <c r="H33" i="1"/>
  <c r="I23" i="1"/>
  <c r="X5" i="1"/>
  <c r="W5" i="1"/>
  <c r="O11" i="1" l="1"/>
  <c r="G25" i="1"/>
  <c r="R15" i="1" l="1"/>
  <c r="O15" i="1"/>
  <c r="R14" i="1"/>
  <c r="O14" i="1"/>
  <c r="R13" i="1"/>
  <c r="O13" i="1"/>
  <c r="Q1" i="1" l="1"/>
  <c r="R10" i="1"/>
  <c r="R12" i="1"/>
  <c r="R17" i="1"/>
  <c r="R8" i="1"/>
  <c r="Q19" i="1" l="1"/>
  <c r="O10" i="1"/>
  <c r="O12" i="1"/>
  <c r="O8" i="1" l="1"/>
  <c r="C20" i="1" s="1"/>
  <c r="G20" i="1" l="1"/>
  <c r="E22" i="1" s="1"/>
  <c r="P24" i="1" l="1"/>
  <c r="P25" i="1"/>
</calcChain>
</file>

<file path=xl/sharedStrings.xml><?xml version="1.0" encoding="utf-8"?>
<sst xmlns="http://schemas.openxmlformats.org/spreadsheetml/2006/main" count="92" uniqueCount="62">
  <si>
    <t>DATA:</t>
  </si>
  <si>
    <t>EMAIL:</t>
  </si>
  <si>
    <t>CLIENTE:</t>
  </si>
  <si>
    <t>PROJETO:</t>
  </si>
  <si>
    <t>CONTATO:</t>
  </si>
  <si>
    <t>TOTAL:</t>
  </si>
  <si>
    <t>PESO:</t>
  </si>
  <si>
    <t>Kg</t>
  </si>
  <si>
    <t>CIDADE:</t>
  </si>
  <si>
    <t>A JAÚ</t>
  </si>
  <si>
    <t>KM</t>
  </si>
  <si>
    <t xml:space="preserve">VALOR TOTAL R$ = </t>
  </si>
  <si>
    <t>VENDEDOR:</t>
  </si>
  <si>
    <t>X</t>
  </si>
  <si>
    <t>PESO TOTAL:</t>
  </si>
  <si>
    <t>KG</t>
  </si>
  <si>
    <t>TEL.</t>
  </si>
  <si>
    <t>CEL.</t>
  </si>
  <si>
    <t>SOMA:</t>
  </si>
  <si>
    <t>PORTA PALETES</t>
  </si>
  <si>
    <t xml:space="preserve">SEM FRETE E SEM MONTAGEM </t>
  </si>
  <si>
    <t>-</t>
  </si>
  <si>
    <t>1,0325 ( IPI)</t>
  </si>
  <si>
    <t>Peso</t>
  </si>
  <si>
    <r>
      <rPr>
        <b/>
        <sz val="24"/>
        <color theme="1"/>
        <rFont val="Calibri"/>
        <family val="2"/>
        <scheme val="minor"/>
      </rPr>
      <t>OBS:</t>
    </r>
    <r>
      <rPr>
        <sz val="12"/>
        <color theme="1"/>
        <rFont val="Calibri"/>
        <family val="2"/>
        <scheme val="minor"/>
      </rPr>
      <t xml:space="preserve"> </t>
    </r>
  </si>
  <si>
    <t>PROTETOR DE COLUNA</t>
  </si>
  <si>
    <t>G. RAIL SIMPLES</t>
  </si>
  <si>
    <t>G. RAIL DUPLO</t>
  </si>
  <si>
    <t>VALOR SUGERIDO DE MONTAGEM:</t>
  </si>
  <si>
    <t>VALOR SUGERIDO DE FRETE:</t>
  </si>
  <si>
    <t>QUANTIDADE DE MÓDULOS</t>
  </si>
  <si>
    <t>CALÇO PARA MONTANTE S/P   2MM</t>
  </si>
  <si>
    <t>COMPRI./TABELA</t>
  </si>
  <si>
    <t>VALOR/TABELA</t>
  </si>
  <si>
    <t>PESO/TABELA</t>
  </si>
  <si>
    <t>COMPRI./ORÇAMENTO</t>
  </si>
  <si>
    <t>VALOR</t>
  </si>
  <si>
    <t>PESO</t>
  </si>
  <si>
    <t>QUANTIDADE DE POSIÇÕES</t>
  </si>
  <si>
    <t>DISTANCIADOR 300 - (4 FUROS)</t>
  </si>
  <si>
    <t>VALOR P/POSIÇÃO</t>
  </si>
  <si>
    <t>VALOR P/KG</t>
  </si>
  <si>
    <t>BATENTE ESTRUTURAL - 58 MM  ( Não descrevemos este item na proposta)</t>
  </si>
  <si>
    <t>+</t>
  </si>
  <si>
    <t>ART - SOMAR APÓS O DESCONTO TOTAL R$ 327,00</t>
  </si>
  <si>
    <t>A</t>
  </si>
  <si>
    <t>B</t>
  </si>
  <si>
    <t>C</t>
  </si>
  <si>
    <t>D</t>
  </si>
  <si>
    <t>E</t>
  </si>
  <si>
    <t>1_2</t>
  </si>
  <si>
    <t>MOD.</t>
  </si>
  <si>
    <t>COMP.</t>
  </si>
  <si>
    <t>TOTAL</t>
  </si>
  <si>
    <t>LONG.</t>
  </si>
  <si>
    <t>MEGABYTE</t>
  </si>
  <si>
    <t>JOICE</t>
  </si>
  <si>
    <t>MONTANTE #14 F75 - 1.000x8.323 - 8T</t>
  </si>
  <si>
    <t>PAR DE LONGARINAS #14 - Z95x2.300 - 1T</t>
  </si>
  <si>
    <t>TRAVAMENTO DE FUNDO - 4.243</t>
  </si>
  <si>
    <t>MONTANTE #14 F100 - 1.000x8.323 - 15T</t>
  </si>
  <si>
    <t>505-R03-A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</si>
</sst>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&quot;R$&quot;\ #,##0.00"/>
    <numFmt numFmtId="165" formatCode="0.0"/>
    <numFmt numFmtId="166" formatCode="General\ &quot;M&quot;"/>
    <numFmt numFmtId="167" formatCode="General\ &quot;T&quot;"/>
    <numFmt numFmtId="168" formatCode="General\ &quot;1/2&quot;"/>
  </numFmts>
  <fonts count="2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3.5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5"/>
      <name val="Calibri"/>
      <family val="2"/>
      <scheme val="minor"/>
    </font>
    <font>
      <sz val="15"/>
      <color theme="1"/>
      <name val="Calibri"/>
      <family val="2"/>
      <scheme val="minor"/>
    </font>
    <font>
      <sz val="13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sz val="13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9" fillId="0" borderId="0" applyFont="0" applyFill="0" applyBorder="0" applyAlignment="0" applyProtection="0"/>
  </cellStyleXfs>
  <cellXfs count="185">
    <xf numFmtId="0" fontId="0" fillId="0" borderId="0" xfId="0"/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1" fontId="1" fillId="3" borderId="3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3" fillId="3" borderId="15" xfId="0" applyFont="1" applyFill="1" applyBorder="1" applyAlignment="1">
      <alignment vertical="center"/>
    </xf>
    <xf numFmtId="14" fontId="3" fillId="3" borderId="15" xfId="0" applyNumberFormat="1" applyFont="1" applyFill="1" applyBorder="1" applyAlignment="1">
      <alignment horizontal="right" vertical="center"/>
    </xf>
    <xf numFmtId="0" fontId="0" fillId="3" borderId="0" xfId="0" applyFill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vertical="center"/>
    </xf>
    <xf numFmtId="0" fontId="13" fillId="3" borderId="1" xfId="0" applyFont="1" applyFill="1" applyBorder="1" applyAlignment="1">
      <alignment horizontal="right" vertical="center"/>
    </xf>
    <xf numFmtId="0" fontId="3" fillId="3" borderId="9" xfId="0" applyFont="1" applyFill="1" applyBorder="1" applyAlignment="1">
      <alignment horizontal="right" vertical="center"/>
    </xf>
    <xf numFmtId="0" fontId="1" fillId="3" borderId="9" xfId="0" applyFont="1" applyFill="1" applyBorder="1" applyAlignment="1">
      <alignment horizontal="right" vertical="center"/>
    </xf>
    <xf numFmtId="0" fontId="11" fillId="3" borderId="12" xfId="0" applyFont="1" applyFill="1" applyBorder="1" applyAlignment="1">
      <alignment horizontal="center" vertical="center"/>
    </xf>
    <xf numFmtId="164" fontId="13" fillId="3" borderId="4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" fontId="11" fillId="3" borderId="2" xfId="0" applyNumberFormat="1" applyFont="1" applyFill="1" applyBorder="1" applyAlignment="1">
      <alignment vertical="center"/>
    </xf>
    <xf numFmtId="0" fontId="5" fillId="3" borderId="25" xfId="0" applyFont="1" applyFill="1" applyBorder="1" applyAlignment="1">
      <alignment horizontal="left" vertical="center"/>
    </xf>
    <xf numFmtId="1" fontId="11" fillId="3" borderId="12" xfId="0" applyNumberFormat="1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/>
    </xf>
    <xf numFmtId="164" fontId="7" fillId="3" borderId="3" xfId="0" applyNumberFormat="1" applyFont="1" applyFill="1" applyBorder="1" applyAlignment="1">
      <alignment vertical="center"/>
    </xf>
    <xf numFmtId="164" fontId="7" fillId="3" borderId="19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27" xfId="0" applyFill="1" applyBorder="1" applyAlignment="1">
      <alignment horizontal="center" vertical="center" wrapText="1"/>
    </xf>
    <xf numFmtId="0" fontId="0" fillId="3" borderId="29" xfId="0" applyFill="1" applyBorder="1" applyAlignment="1">
      <alignment horizontal="center" vertical="center" wrapText="1"/>
    </xf>
    <xf numFmtId="0" fontId="0" fillId="3" borderId="34" xfId="0" applyFill="1" applyBorder="1" applyAlignment="1">
      <alignment horizontal="center" vertical="center" wrapText="1"/>
    </xf>
    <xf numFmtId="0" fontId="0" fillId="3" borderId="34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18" fillId="3" borderId="27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vertical="center"/>
    </xf>
    <xf numFmtId="0" fontId="1" fillId="3" borderId="24" xfId="0" applyFont="1" applyFill="1" applyBorder="1" applyAlignment="1">
      <alignment vertical="center"/>
    </xf>
    <xf numFmtId="0" fontId="18" fillId="3" borderId="28" xfId="0" applyFont="1" applyFill="1" applyBorder="1" applyAlignment="1">
      <alignment horizontal="left" vertical="center"/>
    </xf>
    <xf numFmtId="0" fontId="18" fillId="3" borderId="33" xfId="0" applyFont="1" applyFill="1" applyBorder="1" applyAlignment="1">
      <alignment horizontal="left" vertical="center"/>
    </xf>
    <xf numFmtId="0" fontId="0" fillId="3" borderId="3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left"/>
    </xf>
    <xf numFmtId="0" fontId="0" fillId="3" borderId="0" xfId="1" applyNumberFormat="1" applyFont="1" applyFill="1" applyBorder="1" applyAlignment="1">
      <alignment horizontal="left" vertical="center"/>
    </xf>
    <xf numFmtId="44" fontId="0" fillId="3" borderId="0" xfId="1" applyFont="1" applyFill="1" applyBorder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0" fontId="20" fillId="3" borderId="0" xfId="0" applyFont="1" applyFill="1"/>
    <xf numFmtId="0" fontId="20" fillId="3" borderId="0" xfId="0" applyFont="1" applyFill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44" fontId="0" fillId="5" borderId="1" xfId="1" applyFont="1" applyFill="1" applyBorder="1" applyAlignment="1">
      <alignment horizontal="center" vertical="center"/>
    </xf>
    <xf numFmtId="44" fontId="0" fillId="6" borderId="1" xfId="1" applyFon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44" fontId="18" fillId="3" borderId="0" xfId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right" vertical="center"/>
    </xf>
    <xf numFmtId="166" fontId="18" fillId="3" borderId="27" xfId="0" applyNumberFormat="1" applyFont="1" applyFill="1" applyBorder="1" applyAlignment="1">
      <alignment horizontal="center" vertical="center" wrapText="1"/>
    </xf>
    <xf numFmtId="167" fontId="18" fillId="3" borderId="27" xfId="0" applyNumberFormat="1" applyFont="1" applyFill="1" applyBorder="1" applyAlignment="1">
      <alignment horizontal="center" vertical="center" wrapText="1"/>
    </xf>
    <xf numFmtId="168" fontId="18" fillId="3" borderId="27" xfId="0" applyNumberFormat="1" applyFont="1" applyFill="1" applyBorder="1" applyAlignment="1">
      <alignment horizontal="center" vertical="center" wrapText="1"/>
    </xf>
    <xf numFmtId="166" fontId="18" fillId="3" borderId="1" xfId="0" applyNumberFormat="1" applyFont="1" applyFill="1" applyBorder="1" applyAlignment="1">
      <alignment horizontal="center" vertical="center" wrapText="1"/>
    </xf>
    <xf numFmtId="167" fontId="18" fillId="3" borderId="1" xfId="0" applyNumberFormat="1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166" fontId="18" fillId="3" borderId="0" xfId="0" applyNumberFormat="1" applyFont="1" applyFill="1" applyAlignment="1">
      <alignment horizontal="center" vertical="center" wrapText="1"/>
    </xf>
    <xf numFmtId="167" fontId="18" fillId="3" borderId="0" xfId="0" applyNumberFormat="1" applyFont="1" applyFill="1" applyAlignment="1">
      <alignment horizontal="center" vertical="center" wrapText="1"/>
    </xf>
    <xf numFmtId="168" fontId="18" fillId="3" borderId="0" xfId="0" applyNumberFormat="1" applyFont="1" applyFill="1" applyAlignment="1">
      <alignment horizontal="center" vertical="center" wrapText="1"/>
    </xf>
    <xf numFmtId="0" fontId="21" fillId="3" borderId="0" xfId="0" applyFont="1" applyFill="1" applyAlignment="1">
      <alignment horizontal="center" vertical="center"/>
    </xf>
    <xf numFmtId="1" fontId="11" fillId="3" borderId="22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1" fontId="1" fillId="3" borderId="5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/>
    </xf>
    <xf numFmtId="0" fontId="1" fillId="3" borderId="11" xfId="0" applyFont="1" applyFill="1" applyBorder="1" applyAlignment="1">
      <alignment vertical="center"/>
    </xf>
    <xf numFmtId="164" fontId="13" fillId="3" borderId="11" xfId="0" applyNumberFormat="1" applyFont="1" applyFill="1" applyBorder="1" applyAlignment="1">
      <alignment horizontal="center" vertical="center"/>
    </xf>
    <xf numFmtId="164" fontId="4" fillId="3" borderId="9" xfId="0" applyNumberFormat="1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1" fontId="11" fillId="3" borderId="10" xfId="0" applyNumberFormat="1" applyFont="1" applyFill="1" applyBorder="1" applyAlignment="1">
      <alignment vertical="center"/>
    </xf>
    <xf numFmtId="0" fontId="5" fillId="3" borderId="38" xfId="0" applyFont="1" applyFill="1" applyBorder="1" applyAlignment="1">
      <alignment horizontal="left" vertical="center"/>
    </xf>
    <xf numFmtId="0" fontId="10" fillId="3" borderId="39" xfId="0" applyFont="1" applyFill="1" applyBorder="1" applyAlignment="1">
      <alignment vertical="center"/>
    </xf>
    <xf numFmtId="164" fontId="5" fillId="7" borderId="3" xfId="0" applyNumberFormat="1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8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18" fillId="3" borderId="1" xfId="0" applyFont="1" applyFill="1" applyBorder="1" applyAlignment="1">
      <alignment horizontal="center" vertical="center"/>
    </xf>
    <xf numFmtId="16" fontId="18" fillId="3" borderId="1" xfId="0" applyNumberFormat="1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168" fontId="18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left" vertical="center"/>
    </xf>
    <xf numFmtId="44" fontId="18" fillId="3" borderId="0" xfId="1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right" vertical="center"/>
    </xf>
    <xf numFmtId="0" fontId="6" fillId="2" borderId="5" xfId="0" applyFont="1" applyFill="1" applyBorder="1" applyAlignment="1">
      <alignment horizontal="right" vertical="center"/>
    </xf>
    <xf numFmtId="0" fontId="6" fillId="2" borderId="11" xfId="0" applyFont="1" applyFill="1" applyBorder="1" applyAlignment="1">
      <alignment horizontal="right" vertical="center"/>
    </xf>
    <xf numFmtId="3" fontId="10" fillId="3" borderId="7" xfId="0" applyNumberFormat="1" applyFont="1" applyFill="1" applyBorder="1" applyAlignment="1">
      <alignment horizontal="center" vertical="center"/>
    </xf>
    <xf numFmtId="3" fontId="10" fillId="3" borderId="8" xfId="0" applyNumberFormat="1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left" vertical="center"/>
    </xf>
    <xf numFmtId="0" fontId="2" fillId="3" borderId="16" xfId="0" applyFont="1" applyFill="1" applyBorder="1" applyAlignment="1">
      <alignment horizontal="left" vertical="center"/>
    </xf>
    <xf numFmtId="0" fontId="2" fillId="3" borderId="17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left" vertical="center"/>
    </xf>
    <xf numFmtId="14" fontId="2" fillId="3" borderId="15" xfId="0" applyNumberFormat="1" applyFont="1" applyFill="1" applyBorder="1" applyAlignment="1">
      <alignment horizontal="left" vertical="center"/>
    </xf>
    <xf numFmtId="14" fontId="2" fillId="3" borderId="16" xfId="0" applyNumberFormat="1" applyFont="1" applyFill="1" applyBorder="1" applyAlignment="1">
      <alignment horizontal="left" vertical="center"/>
    </xf>
    <xf numFmtId="14" fontId="2" fillId="3" borderId="18" xfId="0" applyNumberFormat="1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14" fillId="3" borderId="22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164" fontId="5" fillId="3" borderId="10" xfId="0" applyNumberFormat="1" applyFont="1" applyFill="1" applyBorder="1" applyAlignment="1">
      <alignment horizontal="center" vertical="center"/>
    </xf>
    <xf numFmtId="164" fontId="5" fillId="3" borderId="11" xfId="0" applyNumberFormat="1" applyFont="1" applyFill="1" applyBorder="1" applyAlignment="1">
      <alignment horizontal="center" vertical="center"/>
    </xf>
    <xf numFmtId="1" fontId="11" fillId="7" borderId="12" xfId="0" applyNumberFormat="1" applyFont="1" applyFill="1" applyBorder="1" applyAlignment="1">
      <alignment horizontal="center" vertical="center"/>
    </xf>
    <xf numFmtId="1" fontId="11" fillId="7" borderId="3" xfId="0" applyNumberFormat="1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 wrapText="1"/>
    </xf>
    <xf numFmtId="44" fontId="18" fillId="3" borderId="0" xfId="1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 wrapText="1"/>
    </xf>
    <xf numFmtId="164" fontId="4" fillId="3" borderId="3" xfId="0" applyNumberFormat="1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/>
    </xf>
    <xf numFmtId="164" fontId="1" fillId="3" borderId="4" xfId="0" applyNumberFormat="1" applyFont="1" applyFill="1" applyBorder="1" applyAlignment="1">
      <alignment horizontal="center" vertical="center"/>
    </xf>
    <xf numFmtId="164" fontId="15" fillId="3" borderId="2" xfId="0" applyNumberFormat="1" applyFont="1" applyFill="1" applyBorder="1" applyAlignment="1">
      <alignment horizontal="center" vertical="center"/>
    </xf>
    <xf numFmtId="164" fontId="15" fillId="3" borderId="3" xfId="0" applyNumberFormat="1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 wrapText="1"/>
    </xf>
    <xf numFmtId="0" fontId="16" fillId="3" borderId="28" xfId="0" applyFont="1" applyFill="1" applyBorder="1" applyAlignment="1">
      <alignment horizontal="center" vertical="center" wrapText="1"/>
    </xf>
    <xf numFmtId="0" fontId="16" fillId="3" borderId="27" xfId="0" applyFont="1" applyFill="1" applyBorder="1" applyAlignment="1">
      <alignment horizontal="center" vertical="center" wrapText="1"/>
    </xf>
    <xf numFmtId="0" fontId="16" fillId="3" borderId="33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16" fillId="3" borderId="30" xfId="0" applyFont="1" applyFill="1" applyBorder="1" applyAlignment="1">
      <alignment horizontal="center" vertical="center" wrapText="1"/>
    </xf>
    <xf numFmtId="0" fontId="16" fillId="3" borderId="31" xfId="0" applyFont="1" applyFill="1" applyBorder="1" applyAlignment="1">
      <alignment horizontal="center" vertical="center" wrapText="1"/>
    </xf>
    <xf numFmtId="164" fontId="8" fillId="2" borderId="35" xfId="0" applyNumberFormat="1" applyFont="1" applyFill="1" applyBorder="1" applyAlignment="1">
      <alignment horizontal="center" vertical="center"/>
    </xf>
    <xf numFmtId="164" fontId="8" fillId="2" borderId="36" xfId="0" applyNumberFormat="1" applyFont="1" applyFill="1" applyBorder="1" applyAlignment="1">
      <alignment horizontal="center" vertical="center"/>
    </xf>
    <xf numFmtId="164" fontId="8" fillId="2" borderId="37" xfId="0" applyNumberFormat="1" applyFont="1" applyFill="1" applyBorder="1" applyAlignment="1">
      <alignment horizontal="center" vertical="center"/>
    </xf>
    <xf numFmtId="3" fontId="18" fillId="3" borderId="0" xfId="0" applyNumberFormat="1" applyFont="1" applyFill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58"/>
  <sheetViews>
    <sheetView tabSelected="1" workbookViewId="0">
      <selection activeCell="A14" sqref="A14"/>
    </sheetView>
  </sheetViews>
  <sheetFormatPr defaultColWidth="9.109375" defaultRowHeight="14.4" x14ac:dyDescent="0.3"/>
  <cols>
    <col min="1" max="1" width="6.88671875" style="27" customWidth="1"/>
    <col min="2" max="2" width="9.109375" style="28"/>
    <col min="3" max="3" width="20.109375" style="28" customWidth="1"/>
    <col min="4" max="4" width="3.5546875" style="28" customWidth="1"/>
    <col min="5" max="5" width="7.88671875" style="28" customWidth="1"/>
    <col min="6" max="6" width="8.109375" style="28" customWidth="1"/>
    <col min="7" max="7" width="8" style="28" customWidth="1"/>
    <col min="8" max="8" width="5.109375" style="28" customWidth="1"/>
    <col min="9" max="10" width="5.33203125" style="28" customWidth="1"/>
    <col min="11" max="11" width="6.44140625" style="28" customWidth="1"/>
    <col min="12" max="12" width="9.109375" style="28" customWidth="1"/>
    <col min="13" max="13" width="13.6640625" style="28" customWidth="1"/>
    <col min="14" max="18" width="9.6640625" style="28" customWidth="1"/>
    <col min="19" max="19" width="4.33203125" style="28" customWidth="1"/>
    <col min="20" max="21" width="9.109375" style="28"/>
    <col min="22" max="22" width="20.33203125" style="28" bestFit="1" customWidth="1"/>
    <col min="23" max="23" width="13.6640625" style="28" bestFit="1" customWidth="1"/>
    <col min="24" max="24" width="12.21875" style="28" bestFit="1" customWidth="1"/>
    <col min="25" max="16384" width="9.109375" style="28"/>
  </cols>
  <sheetData>
    <row r="1" spans="1:24" s="9" customFormat="1" ht="21.9" customHeight="1" x14ac:dyDescent="0.3">
      <c r="A1" s="101" t="s">
        <v>2</v>
      </c>
      <c r="B1" s="102"/>
      <c r="C1" s="119" t="s">
        <v>55</v>
      </c>
      <c r="D1" s="120"/>
      <c r="E1" s="120"/>
      <c r="F1" s="120"/>
      <c r="G1" s="120"/>
      <c r="H1" s="120"/>
      <c r="I1" s="120"/>
      <c r="J1" s="120"/>
      <c r="K1" s="120"/>
      <c r="L1" s="121"/>
      <c r="M1" s="7" t="s">
        <v>12</v>
      </c>
      <c r="N1" s="120" t="s">
        <v>56</v>
      </c>
      <c r="O1" s="121"/>
      <c r="P1" s="8" t="s">
        <v>0</v>
      </c>
      <c r="Q1" s="129">
        <f ca="1">TODAY()</f>
        <v>45980</v>
      </c>
      <c r="R1" s="130"/>
      <c r="S1" s="131"/>
      <c r="V1" s="50" t="s">
        <v>32</v>
      </c>
      <c r="W1" s="50" t="s">
        <v>33</v>
      </c>
      <c r="X1" s="50" t="s">
        <v>34</v>
      </c>
    </row>
    <row r="2" spans="1:24" s="9" customFormat="1" ht="21.9" customHeight="1" x14ac:dyDescent="0.3">
      <c r="A2" s="103" t="s">
        <v>8</v>
      </c>
      <c r="B2" s="104"/>
      <c r="C2" s="132" t="s">
        <v>21</v>
      </c>
      <c r="D2" s="133"/>
      <c r="E2" s="133"/>
      <c r="F2" s="133"/>
      <c r="G2" s="133"/>
      <c r="H2" s="133"/>
      <c r="I2" s="133"/>
      <c r="J2" s="133"/>
      <c r="K2" s="134"/>
      <c r="L2" s="10" t="s">
        <v>9</v>
      </c>
      <c r="M2" s="11"/>
      <c r="N2" s="12" t="s">
        <v>10</v>
      </c>
      <c r="O2" s="125"/>
      <c r="P2" s="126"/>
      <c r="Q2" s="126"/>
      <c r="R2" s="126"/>
      <c r="S2" s="127"/>
      <c r="V2" s="51">
        <v>4163</v>
      </c>
      <c r="W2" s="52">
        <v>807.15</v>
      </c>
      <c r="X2" s="51">
        <v>39.6</v>
      </c>
    </row>
    <row r="3" spans="1:24" s="9" customFormat="1" ht="21.9" customHeight="1" x14ac:dyDescent="0.3">
      <c r="A3" s="107" t="s">
        <v>3</v>
      </c>
      <c r="B3" s="108"/>
      <c r="C3" s="132" t="s">
        <v>61</v>
      </c>
      <c r="D3" s="133"/>
      <c r="E3" s="133"/>
      <c r="F3" s="133"/>
      <c r="G3" s="133"/>
      <c r="H3" s="133"/>
      <c r="I3" s="133"/>
      <c r="J3" s="133"/>
      <c r="K3" s="134"/>
      <c r="L3" s="13" t="s">
        <v>1</v>
      </c>
      <c r="M3" s="122"/>
      <c r="N3" s="123"/>
      <c r="O3" s="123"/>
      <c r="P3" s="123"/>
      <c r="Q3" s="123"/>
      <c r="R3" s="123"/>
      <c r="S3" s="124"/>
      <c r="V3" s="30"/>
      <c r="W3" s="30"/>
      <c r="X3" s="30"/>
    </row>
    <row r="4" spans="1:24" s="9" customFormat="1" ht="21.9" customHeight="1" x14ac:dyDescent="0.3">
      <c r="A4" s="105" t="s">
        <v>4</v>
      </c>
      <c r="B4" s="106"/>
      <c r="C4" s="109" t="s">
        <v>21</v>
      </c>
      <c r="D4" s="110"/>
      <c r="E4" s="110"/>
      <c r="F4" s="111"/>
      <c r="G4" s="14" t="s">
        <v>16</v>
      </c>
      <c r="H4" s="56"/>
      <c r="I4" s="112" t="s">
        <v>21</v>
      </c>
      <c r="J4" s="112"/>
      <c r="K4" s="112"/>
      <c r="L4" s="112"/>
      <c r="M4" s="112"/>
      <c r="N4" s="15" t="s">
        <v>17</v>
      </c>
      <c r="O4" s="109"/>
      <c r="P4" s="110"/>
      <c r="Q4" s="110"/>
      <c r="R4" s="110"/>
      <c r="S4" s="128"/>
      <c r="V4" s="50" t="s">
        <v>35</v>
      </c>
      <c r="W4" s="50" t="s">
        <v>36</v>
      </c>
      <c r="X4" s="50" t="s">
        <v>37</v>
      </c>
    </row>
    <row r="5" spans="1:24" s="9" customFormat="1" ht="18" customHeight="1" x14ac:dyDescent="0.3">
      <c r="A5" s="141"/>
      <c r="B5" s="142"/>
      <c r="C5" s="142"/>
      <c r="D5" s="143"/>
      <c r="E5" s="113" t="s">
        <v>19</v>
      </c>
      <c r="F5" s="114"/>
      <c r="G5" s="114"/>
      <c r="H5" s="114"/>
      <c r="I5" s="114"/>
      <c r="J5" s="114"/>
      <c r="K5" s="114"/>
      <c r="L5" s="115"/>
      <c r="M5" s="147"/>
      <c r="N5" s="148"/>
      <c r="O5" s="148"/>
      <c r="P5" s="148"/>
      <c r="Q5" s="148"/>
      <c r="R5" s="148"/>
      <c r="S5" s="38"/>
      <c r="V5" s="51">
        <v>8323</v>
      </c>
      <c r="W5" s="53">
        <f>((W2/V2)*V5)</f>
        <v>1613.7183401393224</v>
      </c>
      <c r="X5" s="54">
        <f>((X2/V2)*V5)</f>
        <v>79.171462887340866</v>
      </c>
    </row>
    <row r="6" spans="1:24" s="9" customFormat="1" ht="18" customHeight="1" x14ac:dyDescent="0.3">
      <c r="A6" s="144"/>
      <c r="B6" s="145"/>
      <c r="C6" s="145"/>
      <c r="D6" s="146"/>
      <c r="E6" s="116"/>
      <c r="F6" s="117"/>
      <c r="G6" s="117"/>
      <c r="H6" s="117"/>
      <c r="I6" s="117"/>
      <c r="J6" s="117"/>
      <c r="K6" s="117"/>
      <c r="L6" s="118"/>
      <c r="M6" s="149"/>
      <c r="N6" s="137"/>
      <c r="O6" s="137"/>
      <c r="P6" s="137"/>
      <c r="Q6" s="137"/>
      <c r="R6" s="137"/>
      <c r="S6" s="39"/>
    </row>
    <row r="7" spans="1:24" s="9" customFormat="1" ht="20.100000000000001" customHeight="1" x14ac:dyDescent="0.3">
      <c r="A7" s="135"/>
      <c r="B7" s="136"/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7"/>
      <c r="N7" s="137"/>
      <c r="O7" s="137"/>
      <c r="P7" s="137"/>
      <c r="Q7" s="137"/>
      <c r="R7" s="137"/>
      <c r="S7" s="138"/>
      <c r="U7" s="29" t="s">
        <v>23</v>
      </c>
    </row>
    <row r="8" spans="1:24" s="9" customFormat="1" ht="21.9" customHeight="1" x14ac:dyDescent="0.3">
      <c r="A8" s="16">
        <v>74</v>
      </c>
      <c r="B8" s="1" t="s">
        <v>57</v>
      </c>
      <c r="C8" s="2"/>
      <c r="D8" s="2"/>
      <c r="E8" s="3"/>
      <c r="F8" s="4"/>
      <c r="G8" s="3"/>
      <c r="H8" s="3"/>
      <c r="I8" s="5"/>
      <c r="J8" s="5"/>
      <c r="K8" s="5"/>
      <c r="L8" s="6"/>
      <c r="M8" s="17">
        <v>1613.72</v>
      </c>
      <c r="N8" s="18" t="s">
        <v>5</v>
      </c>
      <c r="O8" s="86">
        <f t="shared" ref="O8:O17" si="0">A8*M8</f>
        <v>119415.28</v>
      </c>
      <c r="P8" s="87"/>
      <c r="Q8" s="19" t="s">
        <v>6</v>
      </c>
      <c r="R8" s="20">
        <f t="shared" ref="R8:R17" si="1">A8*U8</f>
        <v>5858.58</v>
      </c>
      <c r="S8" s="21" t="s">
        <v>7</v>
      </c>
      <c r="U8" s="29">
        <v>79.17</v>
      </c>
    </row>
    <row r="9" spans="1:24" s="9" customFormat="1" ht="21.9" customHeight="1" x14ac:dyDescent="0.3">
      <c r="A9" s="16">
        <v>10</v>
      </c>
      <c r="B9" s="1" t="s">
        <v>60</v>
      </c>
      <c r="C9" s="2"/>
      <c r="D9" s="2"/>
      <c r="E9" s="3"/>
      <c r="F9" s="4"/>
      <c r="G9" s="3"/>
      <c r="H9" s="3"/>
      <c r="I9" s="5"/>
      <c r="J9" s="5"/>
      <c r="K9" s="5"/>
      <c r="L9" s="6"/>
      <c r="M9" s="17">
        <v>2103.4899999999998</v>
      </c>
      <c r="N9" s="18" t="s">
        <v>5</v>
      </c>
      <c r="O9" s="86">
        <f t="shared" ref="O9" si="2">A9*M9</f>
        <v>21034.899999999998</v>
      </c>
      <c r="P9" s="87"/>
      <c r="Q9" s="19" t="s">
        <v>6</v>
      </c>
      <c r="R9" s="20">
        <f t="shared" ref="R9" si="3">A9*U9</f>
        <v>1055.2</v>
      </c>
      <c r="S9" s="21" t="s">
        <v>7</v>
      </c>
      <c r="U9" s="29">
        <v>105.52</v>
      </c>
    </row>
    <row r="10" spans="1:24" s="9" customFormat="1" ht="21.9" customHeight="1" x14ac:dyDescent="0.3">
      <c r="A10" s="22">
        <v>311</v>
      </c>
      <c r="B10" s="1" t="s">
        <v>58</v>
      </c>
      <c r="C10" s="2"/>
      <c r="D10" s="2"/>
      <c r="E10" s="3"/>
      <c r="F10" s="4"/>
      <c r="G10" s="3"/>
      <c r="H10" s="3"/>
      <c r="I10" s="5"/>
      <c r="J10" s="5"/>
      <c r="K10" s="5"/>
      <c r="L10" s="6"/>
      <c r="M10" s="17">
        <v>333</v>
      </c>
      <c r="N10" s="18" t="s">
        <v>5</v>
      </c>
      <c r="O10" s="86">
        <f t="shared" si="0"/>
        <v>103563</v>
      </c>
      <c r="P10" s="87"/>
      <c r="Q10" s="19" t="s">
        <v>6</v>
      </c>
      <c r="R10" s="20">
        <f t="shared" si="1"/>
        <v>5318.1</v>
      </c>
      <c r="S10" s="21" t="s">
        <v>7</v>
      </c>
      <c r="U10" s="29">
        <v>17.100000000000001</v>
      </c>
    </row>
    <row r="11" spans="1:24" s="9" customFormat="1" ht="21.9" customHeight="1" x14ac:dyDescent="0.3">
      <c r="A11" s="16">
        <f>(A8+A9)*2</f>
        <v>168</v>
      </c>
      <c r="B11" s="1" t="s">
        <v>42</v>
      </c>
      <c r="C11" s="2"/>
      <c r="D11" s="2"/>
      <c r="E11" s="3"/>
      <c r="F11" s="4"/>
      <c r="G11" s="3"/>
      <c r="H11" s="3"/>
      <c r="I11" s="5"/>
      <c r="J11" s="5"/>
      <c r="K11" s="5"/>
      <c r="L11" s="6"/>
      <c r="M11" s="17">
        <v>1.4</v>
      </c>
      <c r="N11" s="18" t="s">
        <v>5</v>
      </c>
      <c r="O11" s="86">
        <f t="shared" si="0"/>
        <v>235.2</v>
      </c>
      <c r="P11" s="87"/>
      <c r="Q11" s="19" t="s">
        <v>6</v>
      </c>
      <c r="R11" s="20">
        <f t="shared" si="1"/>
        <v>10.584</v>
      </c>
      <c r="S11" s="21" t="s">
        <v>7</v>
      </c>
      <c r="U11" s="29">
        <v>6.3E-2</v>
      </c>
    </row>
    <row r="12" spans="1:24" s="9" customFormat="1" ht="21.9" customHeight="1" x14ac:dyDescent="0.3">
      <c r="A12" s="22">
        <v>136</v>
      </c>
      <c r="B12" s="1" t="s">
        <v>39</v>
      </c>
      <c r="C12" s="2"/>
      <c r="D12" s="2"/>
      <c r="E12" s="3"/>
      <c r="F12" s="4"/>
      <c r="G12" s="3"/>
      <c r="H12" s="3"/>
      <c r="I12" s="5"/>
      <c r="J12" s="5"/>
      <c r="K12" s="5"/>
      <c r="L12" s="6"/>
      <c r="M12" s="17">
        <v>34.869999999999997</v>
      </c>
      <c r="N12" s="18" t="s">
        <v>5</v>
      </c>
      <c r="O12" s="86">
        <f t="shared" si="0"/>
        <v>4742.32</v>
      </c>
      <c r="P12" s="87"/>
      <c r="Q12" s="19" t="s">
        <v>6</v>
      </c>
      <c r="R12" s="20">
        <f t="shared" si="1"/>
        <v>136</v>
      </c>
      <c r="S12" s="21" t="s">
        <v>7</v>
      </c>
      <c r="U12" s="29">
        <v>1</v>
      </c>
    </row>
    <row r="13" spans="1:24" s="9" customFormat="1" ht="21.9" customHeight="1" x14ac:dyDescent="0.3">
      <c r="A13" s="16">
        <v>69</v>
      </c>
      <c r="B13" s="1" t="s">
        <v>25</v>
      </c>
      <c r="C13" s="2"/>
      <c r="D13" s="2"/>
      <c r="E13" s="3"/>
      <c r="F13" s="4"/>
      <c r="G13" s="3"/>
      <c r="H13" s="3"/>
      <c r="I13" s="5"/>
      <c r="J13" s="5"/>
      <c r="K13" s="5"/>
      <c r="L13" s="6"/>
      <c r="M13" s="17">
        <v>149.96</v>
      </c>
      <c r="N13" s="18" t="s">
        <v>5</v>
      </c>
      <c r="O13" s="86">
        <f t="shared" si="0"/>
        <v>10347.24</v>
      </c>
      <c r="P13" s="87"/>
      <c r="Q13" s="19" t="s">
        <v>6</v>
      </c>
      <c r="R13" s="20">
        <f t="shared" si="1"/>
        <v>393.3</v>
      </c>
      <c r="S13" s="21" t="s">
        <v>7</v>
      </c>
      <c r="U13" s="29">
        <v>5.7</v>
      </c>
    </row>
    <row r="14" spans="1:24" s="9" customFormat="1" ht="21.9" customHeight="1" x14ac:dyDescent="0.3">
      <c r="A14" s="22">
        <v>3</v>
      </c>
      <c r="B14" s="1" t="s">
        <v>26</v>
      </c>
      <c r="C14" s="2"/>
      <c r="D14" s="2"/>
      <c r="E14" s="3"/>
      <c r="F14" s="4"/>
      <c r="G14" s="3"/>
      <c r="H14" s="3"/>
      <c r="I14" s="5"/>
      <c r="J14" s="5"/>
      <c r="K14" s="5"/>
      <c r="L14" s="6"/>
      <c r="M14" s="17">
        <v>546.64</v>
      </c>
      <c r="N14" s="18" t="s">
        <v>5</v>
      </c>
      <c r="O14" s="86">
        <f t="shared" si="0"/>
        <v>1639.92</v>
      </c>
      <c r="P14" s="87"/>
      <c r="Q14" s="19" t="s">
        <v>6</v>
      </c>
      <c r="R14" s="20">
        <f t="shared" si="1"/>
        <v>72</v>
      </c>
      <c r="S14" s="21" t="s">
        <v>7</v>
      </c>
      <c r="U14" s="29">
        <v>24</v>
      </c>
    </row>
    <row r="15" spans="1:24" s="9" customFormat="1" ht="21.9" customHeight="1" x14ac:dyDescent="0.3">
      <c r="A15" s="22">
        <v>6</v>
      </c>
      <c r="B15" s="1" t="s">
        <v>27</v>
      </c>
      <c r="C15" s="2"/>
      <c r="D15" s="2"/>
      <c r="E15" s="3"/>
      <c r="F15" s="4"/>
      <c r="G15" s="3"/>
      <c r="H15" s="3"/>
      <c r="I15" s="5"/>
      <c r="J15" s="5"/>
      <c r="K15" s="5"/>
      <c r="L15" s="6"/>
      <c r="M15" s="17">
        <v>717.89</v>
      </c>
      <c r="N15" s="18" t="s">
        <v>5</v>
      </c>
      <c r="O15" s="86">
        <f t="shared" si="0"/>
        <v>4307.34</v>
      </c>
      <c r="P15" s="87"/>
      <c r="Q15" s="19" t="s">
        <v>6</v>
      </c>
      <c r="R15" s="20">
        <f t="shared" si="1"/>
        <v>198</v>
      </c>
      <c r="S15" s="21" t="s">
        <v>7</v>
      </c>
      <c r="U15" s="29">
        <v>33</v>
      </c>
    </row>
    <row r="16" spans="1:24" s="9" customFormat="1" ht="21.9" customHeight="1" x14ac:dyDescent="0.3">
      <c r="A16" s="16">
        <v>6</v>
      </c>
      <c r="B16" s="1" t="s">
        <v>59</v>
      </c>
      <c r="C16" s="2"/>
      <c r="D16" s="2"/>
      <c r="E16" s="3"/>
      <c r="F16" s="4"/>
      <c r="G16" s="3"/>
      <c r="H16" s="3"/>
      <c r="I16" s="5"/>
      <c r="J16" s="5"/>
      <c r="K16" s="5"/>
      <c r="L16" s="6"/>
      <c r="M16" s="17">
        <v>472.95</v>
      </c>
      <c r="N16" s="18" t="s">
        <v>5</v>
      </c>
      <c r="O16" s="86">
        <f t="shared" ref="O16" si="4">A16*M16</f>
        <v>2837.7</v>
      </c>
      <c r="P16" s="87"/>
      <c r="Q16" s="19" t="s">
        <v>6</v>
      </c>
      <c r="R16" s="20">
        <f t="shared" ref="R16" si="5">A16*U16</f>
        <v>125.69999999999999</v>
      </c>
      <c r="S16" s="21" t="s">
        <v>7</v>
      </c>
      <c r="U16" s="29">
        <v>20.95</v>
      </c>
    </row>
    <row r="17" spans="1:23" s="9" customFormat="1" ht="21.9" customHeight="1" x14ac:dyDescent="0.3">
      <c r="A17" s="67">
        <f>(A8+A9)*3</f>
        <v>252</v>
      </c>
      <c r="B17" s="68" t="s">
        <v>31</v>
      </c>
      <c r="C17" s="69"/>
      <c r="D17" s="69"/>
      <c r="E17" s="70"/>
      <c r="F17" s="62"/>
      <c r="G17" s="70"/>
      <c r="H17" s="70"/>
      <c r="I17" s="71"/>
      <c r="J17" s="71"/>
      <c r="K17" s="71"/>
      <c r="L17" s="72"/>
      <c r="M17" s="73">
        <v>3.43</v>
      </c>
      <c r="N17" s="74" t="s">
        <v>5</v>
      </c>
      <c r="O17" s="152">
        <f t="shared" si="0"/>
        <v>864.36</v>
      </c>
      <c r="P17" s="153"/>
      <c r="Q17" s="75" t="s">
        <v>6</v>
      </c>
      <c r="R17" s="76">
        <f t="shared" si="1"/>
        <v>25.200000000000003</v>
      </c>
      <c r="S17" s="77" t="s">
        <v>7</v>
      </c>
      <c r="U17" s="29">
        <v>0.1</v>
      </c>
    </row>
    <row r="18" spans="1:23" s="9" customFormat="1" ht="21.9" customHeight="1" x14ac:dyDescent="0.3">
      <c r="A18" s="154"/>
      <c r="B18" s="155"/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79"/>
      <c r="P18" s="79"/>
      <c r="Q18" s="150"/>
      <c r="R18" s="150"/>
      <c r="S18" s="151"/>
      <c r="U18" s="30"/>
    </row>
    <row r="19" spans="1:23" s="9" customFormat="1" ht="21" customHeight="1" x14ac:dyDescent="0.3">
      <c r="A19" s="158" t="s">
        <v>44</v>
      </c>
      <c r="B19" s="159"/>
      <c r="C19" s="159"/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65" t="s">
        <v>14</v>
      </c>
      <c r="P19" s="166"/>
      <c r="Q19" s="99">
        <f>SUM(R8:R18)</f>
        <v>13192.664000000002</v>
      </c>
      <c r="R19" s="100"/>
      <c r="S19" s="78" t="s">
        <v>15</v>
      </c>
      <c r="U19" s="30"/>
    </row>
    <row r="20" spans="1:23" s="9" customFormat="1" ht="30" customHeight="1" x14ac:dyDescent="0.3">
      <c r="A20" s="103" t="s">
        <v>18</v>
      </c>
      <c r="B20" s="104"/>
      <c r="C20" s="23">
        <f>SUM(O8:P18)</f>
        <v>268987.26</v>
      </c>
      <c r="D20" s="24" t="s">
        <v>13</v>
      </c>
      <c r="E20" s="168" t="s">
        <v>22</v>
      </c>
      <c r="F20" s="169"/>
      <c r="G20" s="170">
        <f>C20*1.0325</f>
        <v>277729.34594999999</v>
      </c>
      <c r="H20" s="171"/>
      <c r="I20" s="172"/>
      <c r="J20" s="172"/>
      <c r="K20" s="172"/>
      <c r="L20" s="173"/>
      <c r="M20" s="160"/>
      <c r="N20" s="161"/>
      <c r="O20" s="161"/>
      <c r="P20" s="174"/>
      <c r="Q20" s="174"/>
      <c r="R20" s="25"/>
      <c r="S20" s="26"/>
      <c r="U20" s="30"/>
    </row>
    <row r="21" spans="1:23" s="9" customFormat="1" ht="15" customHeight="1" x14ac:dyDescent="0.3">
      <c r="A21" s="139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140"/>
      <c r="U21" s="30"/>
    </row>
    <row r="22" spans="1:23" s="9" customFormat="1" ht="24.9" customHeight="1" thickBot="1" x14ac:dyDescent="0.35">
      <c r="A22" s="96" t="s">
        <v>11</v>
      </c>
      <c r="B22" s="97"/>
      <c r="C22" s="97"/>
      <c r="D22" s="98"/>
      <c r="E22" s="181">
        <f>G20</f>
        <v>277729.34594999999</v>
      </c>
      <c r="F22" s="182"/>
      <c r="G22" s="182"/>
      <c r="H22" s="182"/>
      <c r="I22" s="182"/>
      <c r="J22" s="182"/>
      <c r="K22" s="183"/>
      <c r="L22" s="162" t="s">
        <v>20</v>
      </c>
      <c r="M22" s="163"/>
      <c r="N22" s="163"/>
      <c r="O22" s="164"/>
      <c r="P22" s="147"/>
      <c r="Q22" s="148"/>
      <c r="R22" s="148"/>
      <c r="S22" s="167"/>
      <c r="U22" s="30"/>
    </row>
    <row r="23" spans="1:23" ht="24.9" customHeight="1" x14ac:dyDescent="0.3">
      <c r="A23" s="175" t="s">
        <v>24</v>
      </c>
      <c r="B23" s="176"/>
      <c r="C23" s="40" t="s">
        <v>30</v>
      </c>
      <c r="D23" s="37"/>
      <c r="E23" s="37"/>
      <c r="F23" s="37"/>
      <c r="G23" s="57">
        <v>74</v>
      </c>
      <c r="H23" s="37" t="s">
        <v>43</v>
      </c>
      <c r="I23" s="58">
        <f>V24</f>
        <v>0</v>
      </c>
      <c r="J23" s="37" t="s">
        <v>43</v>
      </c>
      <c r="K23" s="59">
        <v>5</v>
      </c>
      <c r="L23" s="31"/>
      <c r="M23" s="31"/>
      <c r="N23" s="31"/>
      <c r="O23" s="31"/>
      <c r="P23" s="31"/>
      <c r="Q23" s="31"/>
      <c r="R23" s="31"/>
      <c r="S23" s="32"/>
      <c r="U23" s="30"/>
      <c r="V23" s="30"/>
      <c r="W23" s="30"/>
    </row>
    <row r="24" spans="1:23" ht="24.9" customHeight="1" x14ac:dyDescent="0.3">
      <c r="A24" s="177"/>
      <c r="B24" s="178"/>
      <c r="C24" s="41" t="s">
        <v>38</v>
      </c>
      <c r="D24" s="80"/>
      <c r="E24" s="80"/>
      <c r="F24" s="80"/>
      <c r="G24" s="184">
        <v>770</v>
      </c>
      <c r="H24" s="156"/>
      <c r="I24" s="156"/>
      <c r="J24" s="80"/>
      <c r="K24" s="80"/>
      <c r="L24" s="81"/>
      <c r="M24" s="81"/>
      <c r="N24" s="156" t="s">
        <v>40</v>
      </c>
      <c r="O24" s="156"/>
      <c r="P24" s="157">
        <f>E22/G24</f>
        <v>360.68746227272726</v>
      </c>
      <c r="Q24" s="157"/>
      <c r="R24" s="81"/>
      <c r="S24" s="33"/>
      <c r="U24" s="63"/>
      <c r="V24" s="64"/>
      <c r="W24" s="65"/>
    </row>
    <row r="25" spans="1:23" ht="24.9" customHeight="1" x14ac:dyDescent="0.3">
      <c r="A25" s="177"/>
      <c r="B25" s="178"/>
      <c r="C25" s="41" t="s">
        <v>28</v>
      </c>
      <c r="D25" s="80"/>
      <c r="E25" s="80"/>
      <c r="F25" s="80"/>
      <c r="G25" s="95">
        <f>G24*10</f>
        <v>7700</v>
      </c>
      <c r="H25" s="95"/>
      <c r="I25" s="95"/>
      <c r="J25" s="55"/>
      <c r="K25" s="55"/>
      <c r="L25" s="81"/>
      <c r="M25" s="81"/>
      <c r="N25" s="156" t="s">
        <v>41</v>
      </c>
      <c r="O25" s="156"/>
      <c r="P25" s="157">
        <f>E22/Q19</f>
        <v>21.051801664167293</v>
      </c>
      <c r="Q25" s="157"/>
      <c r="R25" s="81"/>
      <c r="S25" s="33"/>
      <c r="U25" s="30"/>
      <c r="V25" s="30"/>
      <c r="W25" s="30"/>
    </row>
    <row r="26" spans="1:23" ht="24.9" customHeight="1" x14ac:dyDescent="0.3">
      <c r="A26" s="177"/>
      <c r="B26" s="178"/>
      <c r="C26" s="41" t="s">
        <v>29</v>
      </c>
      <c r="D26" s="82"/>
      <c r="E26" s="82"/>
      <c r="F26" s="82"/>
      <c r="G26" s="95">
        <v>0</v>
      </c>
      <c r="H26" s="95"/>
      <c r="I26" s="95"/>
      <c r="J26" s="55"/>
      <c r="K26" s="55"/>
      <c r="L26" s="30"/>
      <c r="M26" s="30"/>
      <c r="N26" s="30"/>
      <c r="O26" s="30"/>
      <c r="P26" s="30"/>
      <c r="Q26" s="30"/>
      <c r="R26" s="30"/>
      <c r="S26" s="34"/>
      <c r="U26" s="30"/>
      <c r="V26" s="30"/>
      <c r="W26" s="30"/>
    </row>
    <row r="27" spans="1:23" ht="24.9" customHeight="1" thickBot="1" x14ac:dyDescent="0.35">
      <c r="A27" s="179"/>
      <c r="B27" s="180"/>
      <c r="C27" s="42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6"/>
      <c r="U27" s="66"/>
      <c r="V27" s="66"/>
      <c r="W27" s="66"/>
    </row>
    <row r="28" spans="1:23" ht="24.9" customHeight="1" x14ac:dyDescent="0.3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</row>
    <row r="29" spans="1:23" ht="24.9" customHeight="1" x14ac:dyDescent="0.3">
      <c r="A29" s="29"/>
      <c r="B29" s="84" t="s">
        <v>45</v>
      </c>
      <c r="C29" s="84" t="s">
        <v>46</v>
      </c>
      <c r="D29" s="88" t="s">
        <v>47</v>
      </c>
      <c r="E29" s="88"/>
      <c r="F29" s="84" t="s">
        <v>48</v>
      </c>
      <c r="G29" s="84" t="s">
        <v>49</v>
      </c>
      <c r="H29" s="85" t="s">
        <v>50</v>
      </c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</row>
    <row r="30" spans="1:23" x14ac:dyDescent="0.3">
      <c r="A30" s="84" t="s">
        <v>51</v>
      </c>
      <c r="B30" s="60"/>
      <c r="C30" s="61"/>
      <c r="D30" s="89"/>
      <c r="E30" s="89"/>
      <c r="F30" s="29"/>
      <c r="G30" s="29"/>
      <c r="H30" s="29"/>
      <c r="I30" s="92"/>
      <c r="J30" s="92"/>
      <c r="K30" s="92"/>
      <c r="L30" s="92"/>
      <c r="M30" s="30"/>
      <c r="N30" s="30"/>
      <c r="O30" s="30"/>
      <c r="P30" s="94"/>
      <c r="Q30" s="94"/>
      <c r="R30" s="30"/>
      <c r="S30" s="92"/>
      <c r="T30" s="92"/>
      <c r="U30" s="27"/>
    </row>
    <row r="31" spans="1:23" x14ac:dyDescent="0.3">
      <c r="A31" s="84" t="s">
        <v>54</v>
      </c>
      <c r="B31" s="29"/>
      <c r="C31" s="29"/>
      <c r="D31" s="90"/>
      <c r="E31" s="90"/>
      <c r="F31" s="83"/>
      <c r="G31" s="29"/>
      <c r="H31" s="29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27"/>
    </row>
    <row r="32" spans="1:23" x14ac:dyDescent="0.3">
      <c r="A32" s="84" t="s">
        <v>52</v>
      </c>
      <c r="B32" s="29"/>
      <c r="C32" s="29"/>
      <c r="D32" s="90"/>
      <c r="E32" s="90"/>
      <c r="F32" s="83"/>
      <c r="G32" s="29"/>
      <c r="H32" s="29"/>
      <c r="I32" s="92"/>
      <c r="J32" s="92"/>
      <c r="K32" s="92"/>
      <c r="L32" s="92"/>
      <c r="M32" s="46"/>
      <c r="N32" s="47"/>
      <c r="P32" s="93"/>
      <c r="Q32" s="93"/>
      <c r="R32" s="30"/>
      <c r="S32" s="92"/>
      <c r="T32" s="92"/>
      <c r="U32" s="27"/>
    </row>
    <row r="33" spans="1:20" x14ac:dyDescent="0.3">
      <c r="A33" s="84" t="s">
        <v>53</v>
      </c>
      <c r="B33" s="29">
        <f>B31*B30</f>
        <v>0</v>
      </c>
      <c r="C33" s="29">
        <f>C31*C30</f>
        <v>0</v>
      </c>
      <c r="D33" s="91">
        <v>0</v>
      </c>
      <c r="E33" s="91"/>
      <c r="F33" s="29">
        <f>F31*F30</f>
        <v>0</v>
      </c>
      <c r="G33" s="29">
        <f>G31*G30</f>
        <v>0</v>
      </c>
      <c r="H33" s="29">
        <f>H31*H30</f>
        <v>0</v>
      </c>
      <c r="I33" s="43"/>
      <c r="J33" s="43"/>
      <c r="K33" s="43"/>
      <c r="Q33" s="30"/>
      <c r="R33" s="30"/>
      <c r="S33" s="30"/>
      <c r="T33" s="30"/>
    </row>
    <row r="34" spans="1:20" x14ac:dyDescent="0.3">
      <c r="C34" s="43"/>
      <c r="D34" s="43"/>
      <c r="E34" s="45"/>
      <c r="F34" s="43"/>
      <c r="I34" s="92"/>
      <c r="J34" s="92"/>
      <c r="K34" s="92"/>
      <c r="L34" s="92"/>
      <c r="M34" s="46"/>
      <c r="N34" s="47"/>
      <c r="P34" s="93"/>
      <c r="Q34" s="93"/>
      <c r="R34" s="30"/>
      <c r="S34" s="92"/>
      <c r="T34" s="92"/>
    </row>
    <row r="35" spans="1:20" x14ac:dyDescent="0.3">
      <c r="C35" s="43"/>
      <c r="D35" s="43"/>
      <c r="E35" s="43"/>
      <c r="F35" s="43"/>
      <c r="I35" s="43"/>
      <c r="J35" s="43"/>
      <c r="K35" s="43"/>
    </row>
    <row r="36" spans="1:20" x14ac:dyDescent="0.3">
      <c r="C36" s="43"/>
      <c r="D36" s="43"/>
      <c r="E36" s="45"/>
      <c r="F36" s="43"/>
      <c r="I36" s="92"/>
      <c r="J36" s="92"/>
      <c r="K36" s="92"/>
      <c r="L36" s="92"/>
      <c r="M36" s="46"/>
      <c r="N36" s="47"/>
      <c r="P36" s="93"/>
      <c r="Q36" s="93"/>
      <c r="R36" s="30"/>
      <c r="S36" s="92"/>
      <c r="T36" s="92"/>
    </row>
    <row r="37" spans="1:20" x14ac:dyDescent="0.3">
      <c r="C37" s="43"/>
      <c r="D37" s="43"/>
      <c r="E37" s="43"/>
      <c r="F37" s="43"/>
      <c r="I37" s="43"/>
      <c r="J37" s="43"/>
      <c r="K37" s="43"/>
    </row>
    <row r="38" spans="1:20" x14ac:dyDescent="0.3">
      <c r="C38" s="43"/>
      <c r="D38" s="43"/>
      <c r="E38" s="45"/>
      <c r="F38" s="43"/>
      <c r="I38" s="92"/>
      <c r="J38" s="92"/>
      <c r="K38" s="92"/>
      <c r="L38" s="92"/>
      <c r="M38" s="46"/>
      <c r="N38" s="47"/>
      <c r="P38" s="93"/>
      <c r="Q38" s="93"/>
      <c r="R38" s="30"/>
      <c r="S38" s="92"/>
      <c r="T38" s="92"/>
    </row>
    <row r="39" spans="1:20" x14ac:dyDescent="0.3">
      <c r="C39" s="43"/>
      <c r="D39" s="43"/>
      <c r="E39" s="43"/>
      <c r="F39" s="43"/>
      <c r="I39" s="43"/>
      <c r="J39" s="43"/>
      <c r="K39" s="43"/>
    </row>
    <row r="40" spans="1:20" x14ac:dyDescent="0.3">
      <c r="C40" s="43"/>
      <c r="D40" s="43"/>
      <c r="E40" s="45"/>
      <c r="F40" s="43"/>
      <c r="I40" s="92"/>
      <c r="J40" s="92"/>
      <c r="K40" s="92"/>
      <c r="L40" s="92"/>
      <c r="M40" s="46"/>
      <c r="N40" s="47"/>
      <c r="P40" s="93"/>
      <c r="Q40" s="93"/>
      <c r="R40" s="30"/>
      <c r="S40" s="92"/>
      <c r="T40" s="92"/>
    </row>
    <row r="41" spans="1:20" x14ac:dyDescent="0.3">
      <c r="I41" s="43"/>
      <c r="J41" s="43"/>
      <c r="K41" s="43"/>
    </row>
    <row r="42" spans="1:20" x14ac:dyDescent="0.3">
      <c r="C42" s="48"/>
      <c r="D42" s="48"/>
      <c r="E42" s="48"/>
      <c r="F42" s="48"/>
      <c r="G42" s="48"/>
      <c r="H42" s="48"/>
      <c r="I42" s="49"/>
      <c r="J42" s="49"/>
      <c r="K42" s="49"/>
      <c r="L42" s="48"/>
      <c r="M42" s="48"/>
      <c r="N42" s="48"/>
      <c r="O42" s="48"/>
    </row>
    <row r="44" spans="1:20" x14ac:dyDescent="0.3">
      <c r="C44" s="94"/>
      <c r="D44" s="94"/>
      <c r="E44" s="30"/>
      <c r="F44" s="30"/>
      <c r="G44" s="9"/>
      <c r="H44" s="9"/>
      <c r="I44" s="92"/>
      <c r="J44" s="92"/>
      <c r="K44" s="92"/>
      <c r="L44" s="92"/>
      <c r="M44" s="30"/>
      <c r="N44" s="30"/>
    </row>
    <row r="45" spans="1:20" x14ac:dyDescent="0.3">
      <c r="C45" s="30"/>
      <c r="D45" s="30"/>
      <c r="E45" s="30"/>
      <c r="F45" s="30"/>
      <c r="G45" s="30"/>
      <c r="H45" s="30"/>
    </row>
    <row r="46" spans="1:20" x14ac:dyDescent="0.3">
      <c r="C46" s="44"/>
      <c r="D46" s="44"/>
      <c r="E46" s="30"/>
      <c r="F46" s="30"/>
      <c r="G46" s="30"/>
      <c r="H46" s="30"/>
      <c r="I46" s="92"/>
      <c r="J46" s="92"/>
      <c r="K46" s="92"/>
      <c r="L46" s="92"/>
      <c r="M46" s="46"/>
      <c r="N46" s="47"/>
    </row>
    <row r="47" spans="1:20" x14ac:dyDescent="0.3">
      <c r="D47" s="30"/>
      <c r="E47" s="30"/>
      <c r="F47" s="30"/>
      <c r="G47" s="30"/>
      <c r="H47" s="30"/>
    </row>
    <row r="48" spans="1:20" x14ac:dyDescent="0.3">
      <c r="C48" s="44"/>
      <c r="D48" s="44"/>
      <c r="E48" s="30"/>
      <c r="F48" s="30"/>
      <c r="G48" s="30"/>
      <c r="H48" s="30"/>
      <c r="I48" s="92"/>
      <c r="J48" s="92"/>
      <c r="K48" s="92"/>
      <c r="L48" s="92"/>
      <c r="M48" s="46"/>
      <c r="N48" s="47"/>
    </row>
    <row r="50" spans="3:14" x14ac:dyDescent="0.3">
      <c r="C50" s="44"/>
      <c r="D50" s="44"/>
      <c r="E50" s="30"/>
      <c r="F50" s="30"/>
      <c r="G50" s="30"/>
      <c r="H50" s="30"/>
      <c r="I50" s="92"/>
      <c r="J50" s="92"/>
      <c r="K50" s="92"/>
      <c r="L50" s="92"/>
      <c r="M50" s="46"/>
      <c r="N50" s="47"/>
    </row>
    <row r="52" spans="3:14" x14ac:dyDescent="0.3">
      <c r="C52" s="44"/>
      <c r="D52" s="44"/>
      <c r="E52" s="30"/>
      <c r="F52" s="30"/>
      <c r="G52" s="30"/>
      <c r="H52" s="30"/>
      <c r="I52" s="92"/>
      <c r="J52" s="92"/>
      <c r="K52" s="92"/>
      <c r="L52" s="92"/>
      <c r="M52" s="46"/>
      <c r="N52" s="47"/>
    </row>
    <row r="54" spans="3:14" x14ac:dyDescent="0.3">
      <c r="C54" s="44"/>
      <c r="D54" s="44"/>
      <c r="E54" s="30"/>
      <c r="F54" s="30"/>
      <c r="G54" s="30"/>
      <c r="H54" s="30"/>
      <c r="I54" s="92"/>
      <c r="J54" s="92"/>
      <c r="K54" s="92"/>
      <c r="L54" s="92"/>
      <c r="M54" s="46"/>
      <c r="N54" s="47"/>
    </row>
    <row r="56" spans="3:14" x14ac:dyDescent="0.3">
      <c r="C56" s="44"/>
      <c r="D56" s="44"/>
      <c r="E56" s="30"/>
      <c r="F56" s="30"/>
      <c r="I56" s="92"/>
      <c r="J56" s="92"/>
      <c r="K56" s="92"/>
      <c r="L56" s="92"/>
      <c r="M56" s="46"/>
      <c r="N56" s="47"/>
    </row>
    <row r="58" spans="3:14" x14ac:dyDescent="0.3">
      <c r="C58" s="44"/>
      <c r="D58" s="44"/>
      <c r="E58" s="30"/>
      <c r="F58" s="30"/>
      <c r="I58" s="92"/>
      <c r="J58" s="92"/>
      <c r="K58" s="92"/>
      <c r="L58" s="92"/>
      <c r="M58" s="46"/>
      <c r="N58" s="47"/>
    </row>
  </sheetData>
  <mergeCells count="83">
    <mergeCell ref="N24:O24"/>
    <mergeCell ref="P24:Q24"/>
    <mergeCell ref="A5:D6"/>
    <mergeCell ref="M5:R6"/>
    <mergeCell ref="Q18:S18"/>
    <mergeCell ref="O17:P17"/>
    <mergeCell ref="O12:P12"/>
    <mergeCell ref="O10:P10"/>
    <mergeCell ref="O14:P14"/>
    <mergeCell ref="A18:N18"/>
    <mergeCell ref="O16:P16"/>
    <mergeCell ref="A7:S7"/>
    <mergeCell ref="A21:S21"/>
    <mergeCell ref="O8:P8"/>
    <mergeCell ref="O13:P13"/>
    <mergeCell ref="O15:P15"/>
    <mergeCell ref="O11:P11"/>
    <mergeCell ref="A19:N19"/>
    <mergeCell ref="M20:O20"/>
    <mergeCell ref="O19:P19"/>
    <mergeCell ref="A20:B20"/>
    <mergeCell ref="E20:F20"/>
    <mergeCell ref="G20:L20"/>
    <mergeCell ref="P20:Q20"/>
    <mergeCell ref="Q19:R19"/>
    <mergeCell ref="A1:B1"/>
    <mergeCell ref="A2:B2"/>
    <mergeCell ref="A4:B4"/>
    <mergeCell ref="A3:B3"/>
    <mergeCell ref="C4:F4"/>
    <mergeCell ref="I4:M4"/>
    <mergeCell ref="E5:L6"/>
    <mergeCell ref="C1:L1"/>
    <mergeCell ref="N1:O1"/>
    <mergeCell ref="M3:S3"/>
    <mergeCell ref="O2:S2"/>
    <mergeCell ref="O4:S4"/>
    <mergeCell ref="Q1:S1"/>
    <mergeCell ref="C2:K2"/>
    <mergeCell ref="C3:K3"/>
    <mergeCell ref="P40:Q40"/>
    <mergeCell ref="S40:T40"/>
    <mergeCell ref="C44:D44"/>
    <mergeCell ref="P30:Q30"/>
    <mergeCell ref="P32:Q32"/>
    <mergeCell ref="S30:T30"/>
    <mergeCell ref="S32:T32"/>
    <mergeCell ref="I38:L38"/>
    <mergeCell ref="I40:L40"/>
    <mergeCell ref="P34:Q34"/>
    <mergeCell ref="S34:T34"/>
    <mergeCell ref="P36:Q36"/>
    <mergeCell ref="S36:T36"/>
    <mergeCell ref="P38:Q38"/>
    <mergeCell ref="S38:T38"/>
    <mergeCell ref="I30:L30"/>
    <mergeCell ref="D33:E33"/>
    <mergeCell ref="I54:L54"/>
    <mergeCell ref="I56:L56"/>
    <mergeCell ref="I58:L58"/>
    <mergeCell ref="I44:L44"/>
    <mergeCell ref="I46:L46"/>
    <mergeCell ref="I48:L48"/>
    <mergeCell ref="I50:L50"/>
    <mergeCell ref="I52:L52"/>
    <mergeCell ref="I34:L34"/>
    <mergeCell ref="I36:L36"/>
    <mergeCell ref="O9:P9"/>
    <mergeCell ref="D29:E29"/>
    <mergeCell ref="D30:E30"/>
    <mergeCell ref="D31:E31"/>
    <mergeCell ref="D32:E32"/>
    <mergeCell ref="I32:L32"/>
    <mergeCell ref="G25:I25"/>
    <mergeCell ref="G26:I26"/>
    <mergeCell ref="A22:D22"/>
    <mergeCell ref="N25:O25"/>
    <mergeCell ref="P25:Q25"/>
    <mergeCell ref="L22:O22"/>
    <mergeCell ref="P22:S22"/>
    <mergeCell ref="A23:B27"/>
    <mergeCell ref="E22:K22"/>
    <mergeCell ref="G24:I24"/>
  </mergeCells>
  <pageMargins left="0.11811023622047245" right="0.11811023622047245" top="0.19685039370078741" bottom="0.19685039370078741" header="0.19685039370078741" footer="0.19685039370078741"/>
  <pageSetup paperSize="9" scale="9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B7377-C06C-4FB4-9C86-481DA1EF1A3E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PORTA PALETES</vt:lpstr>
      <vt:lpstr>Planilha1</vt:lpstr>
      <vt:lpstr>'PORTA PALETES'!Area_de_impressao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Supervisor</cp:lastModifiedBy>
  <cp:lastPrinted>2025-10-21T10:42:05Z</cp:lastPrinted>
  <dcterms:created xsi:type="dcterms:W3CDTF">2017-01-28T16:29:29Z</dcterms:created>
  <dcterms:modified xsi:type="dcterms:W3CDTF">2025-11-19T12:53:35Z</dcterms:modified>
</cp:coreProperties>
</file>